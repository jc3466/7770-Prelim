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CHEME 7770\Prelim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1" i="1" l="1"/>
  <c r="H3" i="1"/>
  <c r="H4" i="1"/>
  <c r="H5" i="1"/>
  <c r="H6" i="1"/>
  <c r="H7" i="1"/>
  <c r="H8" i="1"/>
  <c r="H2" i="1"/>
  <c r="G3" i="1"/>
  <c r="G4" i="1"/>
  <c r="G5" i="1"/>
  <c r="G6" i="1"/>
  <c r="G7" i="1"/>
  <c r="G8" i="1"/>
  <c r="G2" i="1"/>
  <c r="F3" i="1"/>
  <c r="F4" i="1"/>
  <c r="F5" i="1"/>
  <c r="F6" i="1"/>
  <c r="F7" i="1"/>
  <c r="F8" i="1"/>
  <c r="F2" i="1"/>
  <c r="B25" i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2" i="1"/>
  <c r="J2" i="1" s="1"/>
  <c r="P16" i="1" l="1"/>
  <c r="B19" i="1"/>
  <c r="B22" i="1"/>
  <c r="B21" i="1"/>
  <c r="B24" i="1" s="1"/>
  <c r="P19" i="1"/>
  <c r="B18" i="1" s="1"/>
  <c r="P17" i="1"/>
  <c r="B15" i="1" s="1"/>
  <c r="E3" i="1"/>
  <c r="E4" i="1"/>
  <c r="E5" i="1"/>
  <c r="E6" i="1"/>
  <c r="E7" i="1"/>
  <c r="E8" i="1"/>
  <c r="E2" i="1"/>
  <c r="B23" i="1" l="1"/>
  <c r="B26" i="1" s="1"/>
  <c r="K6" i="1" l="1"/>
  <c r="K4" i="1"/>
  <c r="K2" i="1"/>
  <c r="K3" i="1"/>
  <c r="K7" i="1"/>
  <c r="K5" i="1"/>
  <c r="K8" i="1"/>
</calcChain>
</file>

<file path=xl/sharedStrings.xml><?xml version="1.0" encoding="utf-8"?>
<sst xmlns="http://schemas.openxmlformats.org/spreadsheetml/2006/main" count="119" uniqueCount="97">
  <si>
    <t xml:space="preserve">IPTG (mM) </t>
  </si>
  <si>
    <r>
      <t xml:space="preserve">&lt; n &gt; </t>
    </r>
    <r>
      <rPr>
        <sz val="12"/>
        <color rgb="FF000000"/>
        <rFont val="NimbusSanL-Regu"/>
      </rPr>
      <t xml:space="preserve">(mRNA/cell) </t>
    </r>
  </si>
  <si>
    <t xml:space="preserve">low (mRNA/cell) </t>
  </si>
  <si>
    <t>high (mRNA/cell)</t>
  </si>
  <si>
    <t xml:space="preserve">IPTG (nM) </t>
  </si>
  <si>
    <r>
      <t xml:space="preserve">&lt; n &gt; </t>
    </r>
    <r>
      <rPr>
        <sz val="12"/>
        <color rgb="FFFF0000"/>
        <rFont val="NimbusSanL-Regu"/>
      </rPr>
      <t xml:space="preserve">(nmol mRNA/gDW) </t>
    </r>
  </si>
  <si>
    <t xml:space="preserve">low (nmol mRNA/gDW) </t>
  </si>
  <si>
    <t xml:space="preserve">high (nmol mRNA/gDW) </t>
  </si>
  <si>
    <t>Parameters</t>
  </si>
  <si>
    <t>Units</t>
  </si>
  <si>
    <t>Source</t>
  </si>
  <si>
    <t>kE</t>
  </si>
  <si>
    <t>Description</t>
  </si>
  <si>
    <t>RX,T</t>
  </si>
  <si>
    <t>G</t>
  </si>
  <si>
    <t>theta</t>
  </si>
  <si>
    <t>mu</t>
  </si>
  <si>
    <t>total RNA polymerase concentration</t>
  </si>
  <si>
    <t>kI</t>
  </si>
  <si>
    <t>tI</t>
  </si>
  <si>
    <t>characteristic initation time</t>
  </si>
  <si>
    <t>e</t>
  </si>
  <si>
    <t xml:space="preserve">transcription elogation rate </t>
  </si>
  <si>
    <t>kon</t>
  </si>
  <si>
    <t>on rate, RNA polymerase</t>
  </si>
  <si>
    <t>off rate RNA polymerase</t>
  </si>
  <si>
    <t>Value</t>
  </si>
  <si>
    <t>Nc_hat</t>
  </si>
  <si>
    <t>dry weight E.coli cell</t>
  </si>
  <si>
    <t>V</t>
  </si>
  <si>
    <t>Parameter</t>
  </si>
  <si>
    <t>copies/cell</t>
  </si>
  <si>
    <t>cell/ml</t>
  </si>
  <si>
    <t>ml</t>
  </si>
  <si>
    <t>NA</t>
  </si>
  <si>
    <t>avogadro's #</t>
  </si>
  <si>
    <t>mass DW</t>
  </si>
  <si>
    <t>cell count</t>
  </si>
  <si>
    <t>sample volume</t>
  </si>
  <si>
    <t>Tau_d</t>
  </si>
  <si>
    <t xml:space="preserve">doubling time of E. coli cells </t>
  </si>
  <si>
    <t>gDW</t>
  </si>
  <si>
    <t>nM</t>
  </si>
  <si>
    <t>McClure</t>
  </si>
  <si>
    <t>McClure Table 2</t>
  </si>
  <si>
    <t>Bionumbers:103904</t>
  </si>
  <si>
    <t>1/s</t>
  </si>
  <si>
    <t>koff</t>
  </si>
  <si>
    <t>McClure Table 3</t>
  </si>
  <si>
    <t>dilution factor</t>
  </si>
  <si>
    <t>nt</t>
  </si>
  <si>
    <t>characteristic transcript length</t>
  </si>
  <si>
    <t>L</t>
  </si>
  <si>
    <t>Given in Problem Statement</t>
  </si>
  <si>
    <t>s</t>
  </si>
  <si>
    <t>Lecture 2 Notes (1/Tau_d)</t>
  </si>
  <si>
    <t xml:space="preserve">Half-life given in Problem </t>
  </si>
  <si>
    <t>Half-life</t>
  </si>
  <si>
    <t>half-life of lacZ mRNA</t>
  </si>
  <si>
    <t xml:space="preserve">Parameters Found/Calculated </t>
  </si>
  <si>
    <t xml:space="preserve">initiation rate constant </t>
  </si>
  <si>
    <t xml:space="preserve">elongation rate constant </t>
  </si>
  <si>
    <t>Tau_x</t>
  </si>
  <si>
    <t>none</t>
  </si>
  <si>
    <t>Kx</t>
  </si>
  <si>
    <t>Saturation constant for gene</t>
  </si>
  <si>
    <t xml:space="preserve">time constant for gene </t>
  </si>
  <si>
    <t>Lecture 2 Notes Eqn. 21</t>
  </si>
  <si>
    <t>Lecture 2 Notes Eqn. 20</t>
  </si>
  <si>
    <t>Gain Funct.</t>
  </si>
  <si>
    <t xml:space="preserve">the gain function </t>
  </si>
  <si>
    <t>rx</t>
  </si>
  <si>
    <t xml:space="preserve">rate of transcription </t>
  </si>
  <si>
    <t>Lecture 2 Notes Eqn. 26</t>
  </si>
  <si>
    <t>u (promoter function)</t>
  </si>
  <si>
    <t>1/(nM*s)</t>
  </si>
  <si>
    <t>degradation rate of mRNA</t>
  </si>
  <si>
    <t>nts/s</t>
  </si>
  <si>
    <t>Bionumbers: 108491</t>
  </si>
  <si>
    <t>molecules/nmol</t>
  </si>
  <si>
    <t>Expression Derived in part b</t>
  </si>
  <si>
    <t>KD</t>
  </si>
  <si>
    <t xml:space="preserve">dissociation constant </t>
  </si>
  <si>
    <t>Bionumbers: 101976</t>
  </si>
  <si>
    <t>K1</t>
  </si>
  <si>
    <t>K2</t>
  </si>
  <si>
    <t>n</t>
  </si>
  <si>
    <t xml:space="preserve">cooperativity coefficient </t>
  </si>
  <si>
    <t xml:space="preserve">constant for promoter function </t>
  </si>
  <si>
    <t>fI</t>
  </si>
  <si>
    <t xml:space="preserve">Model Estimation m* (nmol mRNA/gDW) </t>
  </si>
  <si>
    <t xml:space="preserve">lacZ gene abundance </t>
  </si>
  <si>
    <t>G_copy</t>
  </si>
  <si>
    <t xml:space="preserve">number of copies of lacZ gene present in each cell </t>
  </si>
  <si>
    <t>calculated using data given (copies/ cell , cell #)</t>
  </si>
  <si>
    <t>calculated using I=0 case</t>
  </si>
  <si>
    <t>trial and error to best fit the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</si>
</sst>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NimbusSanL-Regu"/>
    </font>
    <font>
      <i/>
      <sz val="12"/>
      <color rgb="FF000000"/>
      <name val="CMMI12"/>
    </font>
    <font>
      <sz val="12"/>
      <color rgb="FFFF0000"/>
      <name val="NimbusSanL-Regu"/>
    </font>
    <font>
      <i/>
      <sz val="12"/>
      <color rgb="FFFF0000"/>
      <name val="CMMI12"/>
    </font>
    <font>
      <sz val="10"/>
      <color rgb="FF21252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1" fontId="0" fillId="0" borderId="0" xfId="0" applyNumberFormat="1"/>
    <xf numFmtId="11" fontId="2" fillId="0" borderId="1" xfId="0" applyNumberFormat="1" applyFont="1" applyBorder="1" applyAlignment="1">
      <alignment vertical="center" wrapText="1"/>
    </xf>
    <xf numFmtId="0" fontId="2" fillId="0" borderId="0" xfId="0" applyFont="1"/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" fillId="0" borderId="0" xfId="0" applyFont="1"/>
    <xf numFmtId="0" fontId="6" fillId="0" borderId="0" xfId="0" applyFont="1"/>
    <xf numFmtId="0" fontId="1" fillId="0" borderId="0" xfId="0" applyFont="1" applyAlignment="1"/>
    <xf numFmtId="0" fontId="0" fillId="0" borderId="0" xfId="0" applyNumberFormat="1"/>
    <xf numFmtId="0" fontId="4" fillId="0" borderId="2" xfId="0" applyFont="1" applyFill="1" applyBorder="1" applyAlignment="1">
      <alignment vertical="center" wrapText="1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4" fillId="0" borderId="2" xfId="0" applyFont="1" applyBorder="1" applyAlignment="1">
      <alignment vertical="center" wrapText="1"/>
    </xf>
    <xf numFmtId="0" fontId="0" fillId="0" borderId="0" xfId="0" applyFill="1"/>
    <xf numFmtId="11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lacZ</a:t>
            </a:r>
            <a:r>
              <a:rPr lang="en-US" b="1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mRNA Concentration vs Inducer concentration</a:t>
            </a:r>
            <a:endParaRPr lang="en-US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Converted Data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Sheet1!$E$2:$E$8</c:f>
              <c:numCache>
                <c:formatCode>General</c:formatCode>
                <c:ptCount val="7"/>
                <c:pt idx="0">
                  <c:v>0</c:v>
                </c:pt>
                <c:pt idx="1">
                  <c:v>500</c:v>
                </c:pt>
                <c:pt idx="2">
                  <c:v>5000</c:v>
                </c:pt>
                <c:pt idx="3">
                  <c:v>12000</c:v>
                </c:pt>
                <c:pt idx="4">
                  <c:v>53000</c:v>
                </c:pt>
                <c:pt idx="5">
                  <c:v>216000</c:v>
                </c:pt>
                <c:pt idx="6">
                  <c:v>1000000</c:v>
                </c:pt>
              </c:numCache>
            </c:numRef>
          </c:xVal>
          <c:yVal>
            <c:numRef>
              <c:f>Sheet1!$F$2:$F$8</c:f>
              <c:numCache>
                <c:formatCode>0.00E+00</c:formatCode>
                <c:ptCount val="7"/>
                <c:pt idx="0">
                  <c:v>0.11268207050339231</c:v>
                </c:pt>
                <c:pt idx="1">
                  <c:v>0.12454334108269677</c:v>
                </c:pt>
                <c:pt idx="2">
                  <c:v>0.2431560468757413</c:v>
                </c:pt>
                <c:pt idx="3">
                  <c:v>0.39735256440669919</c:v>
                </c:pt>
                <c:pt idx="4">
                  <c:v>0.51003463491009149</c:v>
                </c:pt>
                <c:pt idx="5">
                  <c:v>0.55154908193765706</c:v>
                </c:pt>
                <c:pt idx="6">
                  <c:v>0.55154908193765706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0F-46CB-B315-303502B6663F}"/>
            </c:ext>
          </c:extLst>
        </c:ser>
        <c:ser>
          <c:idx val="1"/>
          <c:order val="1"/>
          <c:tx>
            <c:v>Model Estimation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Sheet1!$E$2:$E$8</c:f>
              <c:numCache>
                <c:formatCode>General</c:formatCode>
                <c:ptCount val="7"/>
                <c:pt idx="0">
                  <c:v>0</c:v>
                </c:pt>
                <c:pt idx="1">
                  <c:v>500</c:v>
                </c:pt>
                <c:pt idx="2">
                  <c:v>5000</c:v>
                </c:pt>
                <c:pt idx="3">
                  <c:v>12000</c:v>
                </c:pt>
                <c:pt idx="4">
                  <c:v>53000</c:v>
                </c:pt>
                <c:pt idx="5">
                  <c:v>216000</c:v>
                </c:pt>
                <c:pt idx="6">
                  <c:v>1000000</c:v>
                </c:pt>
              </c:numCache>
            </c:numRef>
          </c:xVal>
          <c:yVal>
            <c:numRef>
              <c:f>Sheet1!$K$2:$K$8</c:f>
              <c:numCache>
                <c:formatCode>General</c:formatCode>
                <c:ptCount val="7"/>
                <c:pt idx="0">
                  <c:v>0.11325128549224735</c:v>
                </c:pt>
                <c:pt idx="1">
                  <c:v>0.11528308776969988</c:v>
                </c:pt>
                <c:pt idx="2">
                  <c:v>0.2395818752376809</c:v>
                </c:pt>
                <c:pt idx="3">
                  <c:v>0.37141833695280546</c:v>
                </c:pt>
                <c:pt idx="4">
                  <c:v>0.43922021880125989</c:v>
                </c:pt>
                <c:pt idx="5">
                  <c:v>0.44362623103448495</c:v>
                </c:pt>
                <c:pt idx="6">
                  <c:v>0.443899189616837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5B-4B3E-A862-4575D05AD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5278192"/>
        <c:axId val="1265282352"/>
      </c:scatterChart>
      <c:valAx>
        <c:axId val="126527819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IPTG </a:t>
                </a:r>
                <a:r>
                  <a:rPr lang="en-US" b="1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Concentration (nM</a:t>
                </a:r>
                <a:r>
                  <a:rPr lang="en-US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)</a:t>
                </a:r>
                <a:endParaRPr 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282352"/>
        <c:crosses val="autoZero"/>
        <c:crossBetween val="midCat"/>
      </c:valAx>
      <c:valAx>
        <c:axId val="126528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mRNA</a:t>
                </a:r>
                <a:r>
                  <a:rPr lang="en-US" b="1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Concentration  (nmol mRNA/gDW)</a:t>
                </a:r>
                <a:endParaRPr lang="en-US" b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8805829807240243E-2"/>
              <c:y val="0.106090090090090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278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454660</xdr:colOff>
      <xdr:row>22</xdr:row>
      <xdr:rowOff>46990</xdr:rowOff>
    </xdr:from>
    <xdr:to>
      <xdr:col>16</xdr:col>
      <xdr:colOff>525780</xdr:colOff>
      <xdr:row>39</xdr:row>
      <xdr:rowOff>62230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"/>
  <sheetViews>
    <sheetView tabSelected="1" zoomScale="90" zoomScaleNormal="90" workbookViewId="0">
      <selection activeCell="J14" sqref="J14"/>
    </sheetView>
  </sheetViews>
  <sheetFormatPr defaultRowHeight="14.4"/>
  <cols>
    <col min="1" max="1" width="11.109375" customWidth="1"/>
    <col min="2" max="2" width="10.44140625" customWidth="1"/>
    <col min="4" max="4" width="32" customWidth="1"/>
    <col min="5" max="5" width="10.77734375" customWidth="1"/>
    <col min="6" max="6" width="11" customWidth="1"/>
    <col min="8" max="8" width="9.77734375" customWidth="1"/>
    <col min="9" max="9" width="11.77734375" customWidth="1"/>
    <col min="10" max="10" width="14.88671875" customWidth="1"/>
    <col min="11" max="11" width="12" bestFit="1" customWidth="1"/>
    <col min="15" max="15" width="10.21875" customWidth="1"/>
    <col min="17" max="17" width="15" customWidth="1"/>
    <col min="18" max="18" width="42.6640625" customWidth="1"/>
  </cols>
  <sheetData>
    <row r="1" spans="1:18" ht="75">
      <c r="A1" s="1" t="s">
        <v>0</v>
      </c>
      <c r="B1" s="2" t="s">
        <v>1</v>
      </c>
      <c r="C1" s="1" t="s">
        <v>2</v>
      </c>
      <c r="D1" s="1" t="s">
        <v>3</v>
      </c>
      <c r="E1" s="6" t="s">
        <v>4</v>
      </c>
      <c r="F1" s="7" t="s">
        <v>5</v>
      </c>
      <c r="G1" s="6" t="s">
        <v>6</v>
      </c>
      <c r="H1" s="6" t="s">
        <v>7</v>
      </c>
      <c r="I1" s="15" t="s">
        <v>89</v>
      </c>
      <c r="J1" s="12" t="s">
        <v>74</v>
      </c>
      <c r="K1" s="12" t="s">
        <v>90</v>
      </c>
    </row>
    <row r="2" spans="1:18" ht="15">
      <c r="A2" s="1">
        <v>0</v>
      </c>
      <c r="B2" s="1">
        <v>19</v>
      </c>
      <c r="C2" s="1">
        <v>18</v>
      </c>
      <c r="D2" s="1">
        <v>20</v>
      </c>
      <c r="E2">
        <f>A2*10^6</f>
        <v>0</v>
      </c>
      <c r="F2" s="3">
        <f>(B2*$P$14*$P$15)/($P$16*$B$13*$P$14)</f>
        <v>0.11268207050339231</v>
      </c>
      <c r="G2" s="3">
        <f>(C2*$P$14*$P$15)/($P$16*$B$13*$P$14)</f>
        <v>0.10675143521374009</v>
      </c>
      <c r="H2" s="3">
        <f>(D2*$P$14*$P$15)/($P$16*$B$13*$P$14)</f>
        <v>0.11861270579304453</v>
      </c>
      <c r="I2" s="11">
        <f xml:space="preserve"> E2^$B$30/(($B$27^$B$30) +E2^$B$30)</f>
        <v>0</v>
      </c>
      <c r="J2">
        <f>($B$28+($B$29*I2))/(1+$B$28+($B$29*I2))</f>
        <v>0.25198411214254191</v>
      </c>
      <c r="K2">
        <f>$B$26*J2</f>
        <v>0.11325128549224735</v>
      </c>
    </row>
    <row r="3" spans="1:18" ht="15">
      <c r="A3" s="4">
        <v>5.0000000000000001E-4</v>
      </c>
      <c r="B3" s="1">
        <v>21</v>
      </c>
      <c r="C3" s="1">
        <v>17</v>
      </c>
      <c r="D3" s="1">
        <v>26</v>
      </c>
      <c r="E3">
        <f t="shared" ref="E3:E8" si="0">A3*10^6</f>
        <v>500</v>
      </c>
      <c r="F3" s="3">
        <f t="shared" ref="F3:F8" si="1">(B3*$P$14*$P$15)/($P$16*$B$13*$P$14)</f>
        <v>0.12454334108269677</v>
      </c>
      <c r="G3" s="3">
        <f t="shared" ref="G3:G8" si="2">(C3*$P$14*$P$15)/($P$16*$B$13*$P$14)</f>
        <v>0.10082079992408785</v>
      </c>
      <c r="H3" s="3">
        <f t="shared" ref="H3:H8" si="3">(D3*$P$14*$P$15)/($P$16*$B$13*$P$14)</f>
        <v>0.15419651753095789</v>
      </c>
      <c r="I3" s="11">
        <f t="shared" ref="I3:I8" si="4" xml:space="preserve"> E3^$B$30/(($B$27^$B$30) +E3^$B$30)</f>
        <v>1.0160908141326039E-4</v>
      </c>
      <c r="J3">
        <f t="shared" ref="J3:J8" si="5">($B$28+($B$29*I3))/(1+$B$28+($B$29*I3))</f>
        <v>0.25650487224436097</v>
      </c>
      <c r="K3">
        <f t="shared" ref="K3:K8" si="6">$B$26*J3</f>
        <v>0.11528308776969988</v>
      </c>
    </row>
    <row r="4" spans="1:18" ht="15">
      <c r="A4" s="1">
        <v>5.0000000000000001E-3</v>
      </c>
      <c r="B4" s="1">
        <v>41</v>
      </c>
      <c r="C4" s="1">
        <v>37</v>
      </c>
      <c r="D4" s="1">
        <v>44</v>
      </c>
      <c r="E4">
        <f t="shared" si="0"/>
        <v>5000</v>
      </c>
      <c r="F4" s="3">
        <f t="shared" si="1"/>
        <v>0.2431560468757413</v>
      </c>
      <c r="G4" s="3">
        <f t="shared" si="2"/>
        <v>0.21943350571713238</v>
      </c>
      <c r="H4" s="3">
        <f t="shared" si="3"/>
        <v>0.26094795274469801</v>
      </c>
      <c r="I4" s="11">
        <f t="shared" si="4"/>
        <v>1.0059714465064623E-2</v>
      </c>
      <c r="J4">
        <f t="shared" si="5"/>
        <v>0.53306967647042713</v>
      </c>
      <c r="K4">
        <f t="shared" si="6"/>
        <v>0.2395818752376809</v>
      </c>
    </row>
    <row r="5" spans="1:18" ht="15">
      <c r="A5" s="1">
        <v>1.2E-2</v>
      </c>
      <c r="B5" s="1">
        <v>67</v>
      </c>
      <c r="C5" s="1">
        <v>65</v>
      </c>
      <c r="D5" s="1">
        <v>69</v>
      </c>
      <c r="E5">
        <f t="shared" si="0"/>
        <v>12000</v>
      </c>
      <c r="F5" s="3">
        <f t="shared" si="1"/>
        <v>0.39735256440669919</v>
      </c>
      <c r="G5" s="3">
        <f t="shared" si="2"/>
        <v>0.38549129382739472</v>
      </c>
      <c r="H5" s="3">
        <f t="shared" si="3"/>
        <v>0.40921383498600367</v>
      </c>
      <c r="I5" s="11">
        <f t="shared" si="4"/>
        <v>5.5296141558122389E-2</v>
      </c>
      <c r="J5">
        <f t="shared" si="5"/>
        <v>0.82640580602432978</v>
      </c>
      <c r="K5">
        <f t="shared" si="6"/>
        <v>0.37141833695280546</v>
      </c>
    </row>
    <row r="6" spans="1:18" ht="15">
      <c r="A6" s="1">
        <v>5.2999999999999999E-2</v>
      </c>
      <c r="B6" s="1">
        <v>86</v>
      </c>
      <c r="C6" s="1">
        <v>84</v>
      </c>
      <c r="D6" s="1">
        <v>88</v>
      </c>
      <c r="E6">
        <f t="shared" si="0"/>
        <v>53000</v>
      </c>
      <c r="F6" s="3">
        <f t="shared" si="1"/>
        <v>0.51003463491009149</v>
      </c>
      <c r="G6" s="3">
        <f t="shared" si="2"/>
        <v>0.49817336433078707</v>
      </c>
      <c r="H6" s="3">
        <f t="shared" si="3"/>
        <v>0.52189590548939602</v>
      </c>
      <c r="I6" s="11">
        <f t="shared" si="4"/>
        <v>0.53310205042169911</v>
      </c>
      <c r="J6">
        <f t="shared" si="5"/>
        <v>0.97726499428798863</v>
      </c>
      <c r="K6">
        <f t="shared" si="6"/>
        <v>0.43922021880125989</v>
      </c>
    </row>
    <row r="7" spans="1:18" ht="15">
      <c r="A7" s="1">
        <v>0.216</v>
      </c>
      <c r="B7" s="1">
        <v>93</v>
      </c>
      <c r="C7" s="1">
        <v>91</v>
      </c>
      <c r="D7" s="1">
        <v>95</v>
      </c>
      <c r="E7">
        <f t="shared" si="0"/>
        <v>216000</v>
      </c>
      <c r="F7" s="3">
        <f t="shared" si="1"/>
        <v>0.55154908193765706</v>
      </c>
      <c r="G7" s="3">
        <f t="shared" si="2"/>
        <v>0.53968781135835264</v>
      </c>
      <c r="H7" s="3">
        <f t="shared" si="3"/>
        <v>0.56341035251696159</v>
      </c>
      <c r="I7" s="11">
        <f t="shared" si="4"/>
        <v>0.94991139372459088</v>
      </c>
      <c r="J7">
        <f t="shared" si="5"/>
        <v>0.98706837158170058</v>
      </c>
      <c r="K7">
        <f t="shared" si="6"/>
        <v>0.44362623103448495</v>
      </c>
    </row>
    <row r="8" spans="1:18" ht="15">
      <c r="A8" s="1">
        <v>1</v>
      </c>
      <c r="B8" s="1">
        <v>93</v>
      </c>
      <c r="C8" s="1">
        <v>92</v>
      </c>
      <c r="D8" s="1">
        <v>94</v>
      </c>
      <c r="E8">
        <f t="shared" si="0"/>
        <v>1000000</v>
      </c>
      <c r="F8" s="3">
        <f t="shared" si="1"/>
        <v>0.55154908193765706</v>
      </c>
      <c r="G8" s="3">
        <f t="shared" si="2"/>
        <v>0.54561844664800485</v>
      </c>
      <c r="H8" s="3">
        <f t="shared" si="3"/>
        <v>0.55747971722730938</v>
      </c>
      <c r="I8" s="11">
        <f t="shared" si="4"/>
        <v>0.9975458775339261</v>
      </c>
      <c r="J8">
        <f t="shared" si="5"/>
        <v>0.98767570443206698</v>
      </c>
      <c r="K8">
        <f t="shared" si="6"/>
        <v>0.443899189616837</v>
      </c>
    </row>
    <row r="9" spans="1:18" ht="15.6">
      <c r="A9" s="5"/>
    </row>
    <row r="11" spans="1:18">
      <c r="A11" s="14" t="s">
        <v>59</v>
      </c>
      <c r="B11" s="14"/>
      <c r="C11" s="14"/>
      <c r="D11" s="14"/>
      <c r="E11" s="14"/>
      <c r="O11" s="14" t="s">
        <v>53</v>
      </c>
      <c r="P11" s="14"/>
      <c r="Q11" s="14"/>
      <c r="R11" s="14"/>
    </row>
    <row r="12" spans="1:18">
      <c r="A12" s="8" t="s">
        <v>8</v>
      </c>
      <c r="B12" s="8" t="s">
        <v>26</v>
      </c>
      <c r="C12" s="8" t="s">
        <v>9</v>
      </c>
      <c r="D12" s="8" t="s">
        <v>12</v>
      </c>
      <c r="E12" s="8" t="s">
        <v>10</v>
      </c>
      <c r="H12" s="13"/>
      <c r="I12" s="13"/>
      <c r="K12" s="13"/>
      <c r="L12" s="13"/>
      <c r="O12" s="10" t="s">
        <v>30</v>
      </c>
      <c r="P12" s="10" t="s">
        <v>26</v>
      </c>
      <c r="Q12" s="8" t="s">
        <v>9</v>
      </c>
      <c r="R12" s="8" t="s">
        <v>12</v>
      </c>
    </row>
    <row r="13" spans="1:18" ht="15">
      <c r="A13" t="s">
        <v>36</v>
      </c>
      <c r="B13" s="3">
        <v>2.8000000000000002E-13</v>
      </c>
      <c r="C13" t="s">
        <v>41</v>
      </c>
      <c r="D13" t="s">
        <v>28</v>
      </c>
      <c r="E13" s="9" t="s">
        <v>45</v>
      </c>
      <c r="O13" t="s">
        <v>92</v>
      </c>
      <c r="P13" s="3">
        <v>2</v>
      </c>
      <c r="Q13" t="s">
        <v>31</v>
      </c>
      <c r="R13" t="s">
        <v>93</v>
      </c>
    </row>
    <row r="14" spans="1:18">
      <c r="A14" t="s">
        <v>13</v>
      </c>
      <c r="B14">
        <v>100</v>
      </c>
      <c r="C14" t="s">
        <v>42</v>
      </c>
      <c r="D14" t="s">
        <v>17</v>
      </c>
      <c r="E14" t="s">
        <v>44</v>
      </c>
      <c r="O14" t="s">
        <v>27</v>
      </c>
      <c r="P14" s="3">
        <v>100000000</v>
      </c>
      <c r="Q14" t="s">
        <v>32</v>
      </c>
      <c r="R14" t="s">
        <v>37</v>
      </c>
    </row>
    <row r="15" spans="1:18">
      <c r="A15" t="s">
        <v>16</v>
      </c>
      <c r="B15">
        <f>1/P17</f>
        <v>4.1666666666666669E-4</v>
      </c>
      <c r="C15" t="s">
        <v>46</v>
      </c>
      <c r="D15" t="s">
        <v>49</v>
      </c>
      <c r="E15" t="s">
        <v>55</v>
      </c>
      <c r="O15" t="s">
        <v>29</v>
      </c>
      <c r="P15">
        <v>1</v>
      </c>
      <c r="Q15" t="s">
        <v>33</v>
      </c>
      <c r="R15" t="s">
        <v>38</v>
      </c>
    </row>
    <row r="16" spans="1:18">
      <c r="A16" t="s">
        <v>19</v>
      </c>
      <c r="B16">
        <v>400</v>
      </c>
      <c r="C16" t="s">
        <v>54</v>
      </c>
      <c r="D16" t="s">
        <v>20</v>
      </c>
      <c r="E16" t="s">
        <v>44</v>
      </c>
      <c r="O16" t="s">
        <v>34</v>
      </c>
      <c r="P16" s="3">
        <f>(6.022E+23)/10^9</f>
        <v>602200000000000</v>
      </c>
      <c r="Q16" t="s">
        <v>79</v>
      </c>
      <c r="R16" t="s">
        <v>35</v>
      </c>
    </row>
    <row r="17" spans="1:18">
      <c r="A17" t="s">
        <v>21</v>
      </c>
      <c r="B17">
        <v>19</v>
      </c>
      <c r="C17" t="s">
        <v>77</v>
      </c>
      <c r="D17" t="s">
        <v>22</v>
      </c>
      <c r="E17" t="s">
        <v>78</v>
      </c>
      <c r="O17" t="s">
        <v>39</v>
      </c>
      <c r="P17">
        <f>40*60</f>
        <v>2400</v>
      </c>
      <c r="Q17" t="s">
        <v>54</v>
      </c>
      <c r="R17" t="s">
        <v>40</v>
      </c>
    </row>
    <row r="18" spans="1:18">
      <c r="A18" t="s">
        <v>15</v>
      </c>
      <c r="B18">
        <f>1/P19</f>
        <v>3.3333333333333335E-3</v>
      </c>
      <c r="C18" t="s">
        <v>46</v>
      </c>
      <c r="D18" t="s">
        <v>76</v>
      </c>
      <c r="E18" t="s">
        <v>56</v>
      </c>
      <c r="O18" t="s">
        <v>52</v>
      </c>
      <c r="P18" s="3">
        <v>1000</v>
      </c>
      <c r="Q18" t="s">
        <v>50</v>
      </c>
      <c r="R18" t="s">
        <v>51</v>
      </c>
    </row>
    <row r="19" spans="1:18">
      <c r="A19" t="s">
        <v>23</v>
      </c>
      <c r="B19" s="3">
        <f>9000000/10^9</f>
        <v>8.9999999999999993E-3</v>
      </c>
      <c r="C19" t="s">
        <v>75</v>
      </c>
      <c r="D19" t="s">
        <v>24</v>
      </c>
      <c r="E19" t="s">
        <v>48</v>
      </c>
      <c r="O19" t="s">
        <v>57</v>
      </c>
      <c r="P19">
        <f>5*60</f>
        <v>300</v>
      </c>
      <c r="Q19" t="s">
        <v>54</v>
      </c>
      <c r="R19" t="s">
        <v>58</v>
      </c>
    </row>
    <row r="20" spans="1:18">
      <c r="A20" t="s">
        <v>47</v>
      </c>
      <c r="B20" s="3">
        <v>1.7000000000000001E-4</v>
      </c>
      <c r="C20" t="s">
        <v>46</v>
      </c>
      <c r="D20" t="s">
        <v>25</v>
      </c>
      <c r="E20" t="s">
        <v>48</v>
      </c>
    </row>
    <row r="21" spans="1:18">
      <c r="A21" t="s">
        <v>18</v>
      </c>
      <c r="B21">
        <f>1/B16</f>
        <v>2.5000000000000001E-3</v>
      </c>
      <c r="C21" t="s">
        <v>46</v>
      </c>
      <c r="D21" t="s">
        <v>60</v>
      </c>
      <c r="E21" t="s">
        <v>43</v>
      </c>
    </row>
    <row r="22" spans="1:18">
      <c r="A22" t="s">
        <v>11</v>
      </c>
      <c r="B22" s="3">
        <f>B17/P18</f>
        <v>1.9E-2</v>
      </c>
      <c r="C22" t="s">
        <v>46</v>
      </c>
      <c r="D22" t="s">
        <v>61</v>
      </c>
      <c r="E22" t="s">
        <v>43</v>
      </c>
    </row>
    <row r="23" spans="1:18">
      <c r="A23" t="s">
        <v>62</v>
      </c>
      <c r="B23" s="3">
        <f>B22/B21</f>
        <v>7.6</v>
      </c>
      <c r="C23" t="s">
        <v>63</v>
      </c>
      <c r="D23" t="s">
        <v>66</v>
      </c>
      <c r="E23" t="s">
        <v>67</v>
      </c>
    </row>
    <row r="24" spans="1:18">
      <c r="A24" t="s">
        <v>64</v>
      </c>
      <c r="B24" s="3">
        <f>((B20+B21)/B19)*10^9</f>
        <v>296666666.66666669</v>
      </c>
      <c r="C24" t="s">
        <v>42</v>
      </c>
      <c r="D24" t="s">
        <v>65</v>
      </c>
      <c r="E24" t="s">
        <v>68</v>
      </c>
    </row>
    <row r="25" spans="1:18">
      <c r="A25" t="s">
        <v>71</v>
      </c>
      <c r="B25" s="3">
        <f>B22*B14*(B31/(B23*B24 + (B23+1)*P13))</f>
        <v>1.6853932455697382E-3</v>
      </c>
      <c r="C25" t="s">
        <v>46</v>
      </c>
      <c r="D25" t="s">
        <v>72</v>
      </c>
      <c r="E25" t="s">
        <v>73</v>
      </c>
    </row>
    <row r="26" spans="1:18">
      <c r="A26" t="s">
        <v>69</v>
      </c>
      <c r="B26" s="16">
        <f>B25/(B15+B18)</f>
        <v>0.44943819881859681</v>
      </c>
      <c r="C26" t="s">
        <v>63</v>
      </c>
      <c r="D26" t="s">
        <v>70</v>
      </c>
      <c r="E26" t="s">
        <v>80</v>
      </c>
    </row>
    <row r="27" spans="1:18">
      <c r="A27" t="s">
        <v>81</v>
      </c>
      <c r="B27" s="3">
        <v>49600</v>
      </c>
      <c r="C27" t="s">
        <v>42</v>
      </c>
      <c r="D27" t="s">
        <v>82</v>
      </c>
      <c r="E27" t="s">
        <v>83</v>
      </c>
    </row>
    <row r="28" spans="1:18">
      <c r="A28" s="16" t="s">
        <v>84</v>
      </c>
      <c r="B28" s="16">
        <v>0.33687</v>
      </c>
      <c r="C28" s="16" t="s">
        <v>63</v>
      </c>
      <c r="D28" s="16" t="s">
        <v>88</v>
      </c>
      <c r="E28" s="16" t="s">
        <v>95</v>
      </c>
    </row>
    <row r="29" spans="1:18">
      <c r="A29" s="16" t="s">
        <v>85</v>
      </c>
      <c r="B29" s="16">
        <v>80</v>
      </c>
      <c r="C29" s="16" t="s">
        <v>63</v>
      </c>
      <c r="D29" s="16" t="s">
        <v>88</v>
      </c>
      <c r="E29" s="16" t="s">
        <v>96</v>
      </c>
    </row>
    <row r="30" spans="1:18">
      <c r="A30" s="16" t="s">
        <v>86</v>
      </c>
      <c r="B30" s="16">
        <v>2</v>
      </c>
      <c r="C30" s="16" t="s">
        <v>63</v>
      </c>
      <c r="D30" s="16" t="s">
        <v>87</v>
      </c>
      <c r="E30" s="16" t="s">
        <v>96</v>
      </c>
    </row>
    <row r="31" spans="1:18">
      <c r="A31" t="s">
        <v>14</v>
      </c>
      <c r="B31" s="17">
        <f>P13*P14/B14</f>
        <v>2000000</v>
      </c>
      <c r="C31" t="s">
        <v>42</v>
      </c>
      <c r="D31" t="s">
        <v>91</v>
      </c>
      <c r="E31" t="s">
        <v>94</v>
      </c>
    </row>
  </sheetData>
  <mergeCells count="4">
    <mergeCell ref="H12:I12"/>
    <mergeCell ref="K12:L12"/>
    <mergeCell ref="A11:E11"/>
    <mergeCell ref="O11:R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at Buffalo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2020-05-10T17:26:05Z</dcterms:created>
  <dcterms:modified xsi:type="dcterms:W3CDTF">2020-05-12T00:25:35Z</dcterms:modified>
</cp:coreProperties>
</file>